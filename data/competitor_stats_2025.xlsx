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gathe/Desktop/cursor_dissertation/analysis/"/>
    </mc:Choice>
  </mc:AlternateContent>
  <xr:revisionPtr revIDLastSave="0" documentId="13_ncr:1_{074A4128-C42B-3B42-86C1-611453A5E87F}" xr6:coauthVersionLast="47" xr6:coauthVersionMax="47" xr10:uidLastSave="{00000000-0000-0000-0000-000000000000}"/>
  <bookViews>
    <workbookView xWindow="0" yWindow="760" windowWidth="29400" windowHeight="17460" xr2:uid="{00000000-000D-0000-FFFF-FFFF00000000}"/>
  </bookViews>
  <sheets>
    <sheet name="ARPU_Calcul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B7" i="1"/>
  <c r="D7" i="1" s="1"/>
  <c r="D6" i="1"/>
  <c r="E6" i="1" s="1"/>
  <c r="D5" i="1"/>
  <c r="E5" i="1" s="1"/>
  <c r="D4" i="1"/>
  <c r="E4" i="1" s="1"/>
  <c r="D3" i="1"/>
  <c r="E3" i="1" s="1"/>
  <c r="E2" i="1"/>
  <c r="E7" i="1" l="1"/>
</calcChain>
</file>

<file path=xl/sharedStrings.xml><?xml version="1.0" encoding="utf-8"?>
<sst xmlns="http://schemas.openxmlformats.org/spreadsheetml/2006/main" count="18" uniqueCount="18">
  <si>
    <t>Platform</t>
  </si>
  <si>
    <t>Revenue_Bn (input)</t>
  </si>
  <si>
    <t>Subscribers_M (input)</t>
  </si>
  <si>
    <t>ARPU_Reported_FY24 (input)</t>
  </si>
  <si>
    <t>ARPU_Monthly</t>
  </si>
  <si>
    <t>Source</t>
  </si>
  <si>
    <t>Spotify</t>
  </si>
  <si>
    <t>Spotify FY2024 shareholder materials (Premium ARPU); revenue/subs for scale context</t>
  </si>
  <si>
    <t>Apple Music</t>
  </si>
  <si>
    <t>Apple Music Revenue and User Statistics (Curry, 2025)</t>
  </si>
  <si>
    <t>Tencent Music</t>
  </si>
  <si>
    <t>RouteNote Blog, 2026</t>
  </si>
  <si>
    <t>Amazon Music</t>
  </si>
  <si>
    <t>Industry estimates (see appendix)</t>
  </si>
  <si>
    <t>YouTube Premium/Music</t>
  </si>
  <si>
    <t>derived from Ch, 2024; Branson, 2026</t>
  </si>
  <si>
    <t>TOTAL / WEIGHTED</t>
  </si>
  <si>
    <t>Weighted ARPU by subscribers; revenue is summed for reference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</si>
</sst>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9141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="125" workbookViewId="0">
      <selection sqref="A1:F7"/>
    </sheetView>
  </sheetViews>
  <sheetFormatPr baseColWidth="10" defaultColWidth="8.83203125" defaultRowHeight="15" x14ac:dyDescent="0.2"/>
  <cols>
    <col min="1" max="1" width="24" customWidth="1"/>
    <col min="2" max="2" width="20" customWidth="1"/>
    <col min="3" max="3" width="21" customWidth="1"/>
    <col min="4" max="4" width="20" customWidth="1"/>
    <col min="5" max="5" width="15.6640625" customWidth="1"/>
    <col min="6" max="6" width="63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</row>
    <row r="2" spans="1:6" x14ac:dyDescent="0.2">
      <c r="A2" t="s">
        <v>6</v>
      </c>
      <c r="B2" s="2">
        <v>15.673</v>
      </c>
      <c r="C2" s="3">
        <v>263</v>
      </c>
      <c r="D2" s="2">
        <v>4.6900000000000004</v>
      </c>
      <c r="E2">
        <f>IF(ISBLANK(D2),B2*1000/(C2*12),D2)</f>
        <v>4.6900000000000004</v>
      </c>
      <c r="F2" t="s">
        <v>7</v>
      </c>
    </row>
    <row r="3" spans="1:6" x14ac:dyDescent="0.2">
      <c r="A3" t="s">
        <v>8</v>
      </c>
      <c r="B3" s="2">
        <v>10.119999999999999</v>
      </c>
      <c r="C3" s="3">
        <v>94</v>
      </c>
      <c r="D3" s="2">
        <f>B3*1000/(C3*12)</f>
        <v>8.9716312056737593</v>
      </c>
      <c r="E3">
        <f>IF(ISBLANK(D3),B3*1000/(C3*12),D3)</f>
        <v>8.9716312056737593</v>
      </c>
      <c r="F3" t="s">
        <v>9</v>
      </c>
    </row>
    <row r="4" spans="1:6" x14ac:dyDescent="0.2">
      <c r="A4" t="s">
        <v>10</v>
      </c>
      <c r="B4" s="2">
        <v>4.71</v>
      </c>
      <c r="C4" s="3">
        <v>125</v>
      </c>
      <c r="D4" s="2">
        <f>B4*1000/(C4*12)</f>
        <v>3.14</v>
      </c>
      <c r="E4">
        <f>IF(ISBLANK(D4),B4*1000/(C4*12),D4)</f>
        <v>3.14</v>
      </c>
      <c r="F4" t="s">
        <v>11</v>
      </c>
    </row>
    <row r="5" spans="1:6" x14ac:dyDescent="0.2">
      <c r="A5" t="s">
        <v>12</v>
      </c>
      <c r="B5" s="2">
        <v>4.08</v>
      </c>
      <c r="C5" s="3">
        <v>80</v>
      </c>
      <c r="D5" s="2">
        <f>B5*1000/(C5*12)</f>
        <v>4.25</v>
      </c>
      <c r="E5">
        <f>IF(ISBLANK(D5),B5*1000/(C5*12),D5)</f>
        <v>4.25</v>
      </c>
      <c r="F5" t="s">
        <v>13</v>
      </c>
    </row>
    <row r="6" spans="1:6" x14ac:dyDescent="0.2">
      <c r="A6" t="s">
        <v>14</v>
      </c>
      <c r="B6" s="2">
        <v>14</v>
      </c>
      <c r="C6" s="3">
        <v>125</v>
      </c>
      <c r="D6" s="2">
        <f>B6*1000/(C6*12)</f>
        <v>9.3333333333333339</v>
      </c>
      <c r="E6">
        <f>IF(ISBLANK(D6),B6*1000/(C6*12),D6)</f>
        <v>9.3333333333333339</v>
      </c>
      <c r="F6" t="s">
        <v>15</v>
      </c>
    </row>
    <row r="7" spans="1:6" x14ac:dyDescent="0.2">
      <c r="A7" s="4" t="s">
        <v>16</v>
      </c>
      <c r="B7" s="2">
        <f>SUM(B2:B6)</f>
        <v>48.582999999999998</v>
      </c>
      <c r="C7" s="3">
        <f>SUM(C2:C6)</f>
        <v>687</v>
      </c>
      <c r="D7" s="2">
        <f>B7*1000/(C7*12)</f>
        <v>5.8931344007763222</v>
      </c>
      <c r="E7">
        <f>SUMPRODUCT(E2:E6,C2:C6)/SUM(C2:C6)</f>
        <v>5.7874381368267835</v>
      </c>
      <c r="F7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ARPU_Calculations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Agathe Moreau</cp:lastModifiedBy>
  <dcterms:created xsi:type="dcterms:W3CDTF">2026-04-30T11:05:50Z</dcterms:created>
  <dcterms:modified xsi:type="dcterms:W3CDTF">2026-05-04T20:31:55Z</dcterms:modified>
</cp:coreProperties>
</file>